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63B80C07-E542-4786-A681-956C29F8C6E4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Roteiro de Uso da Planilha" sheetId="1" r:id="rId1"/>
    <sheet name="Cálculo dos Pesos - Método AHP" sheetId="2" r:id="rId2"/>
    <sheet name="Avaliação dos Síti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3" l="1"/>
  <c r="B11" i="3"/>
  <c r="B10" i="3"/>
  <c r="B9" i="3"/>
  <c r="B8" i="3"/>
  <c r="B7" i="3"/>
  <c r="B6" i="3"/>
  <c r="B5" i="3"/>
  <c r="AG36" i="2"/>
  <c r="H26" i="2"/>
  <c r="Y18" i="2" s="1"/>
  <c r="G26" i="2"/>
  <c r="F26" i="2"/>
  <c r="E26" i="2"/>
  <c r="D26" i="2"/>
  <c r="C26" i="2"/>
  <c r="B26" i="2"/>
  <c r="G25" i="2"/>
  <c r="F25" i="2"/>
  <c r="E25" i="2"/>
  <c r="D25" i="2"/>
  <c r="C25" i="2"/>
  <c r="B25" i="2"/>
  <c r="F24" i="2"/>
  <c r="E24" i="2"/>
  <c r="D24" i="2"/>
  <c r="C24" i="2"/>
  <c r="B24" i="2"/>
  <c r="E23" i="2"/>
  <c r="D23" i="2"/>
  <c r="C23" i="2"/>
  <c r="B23" i="2"/>
  <c r="D22" i="2"/>
  <c r="C22" i="2"/>
  <c r="B22" i="2"/>
  <c r="C21" i="2"/>
  <c r="B21" i="2"/>
  <c r="B20" i="2"/>
  <c r="Z18" i="2"/>
  <c r="Z25" i="2" s="1"/>
  <c r="S18" i="2" l="1"/>
  <c r="S20" i="2" s="1"/>
  <c r="T18" i="2"/>
  <c r="T19" i="2" s="1"/>
  <c r="V18" i="2"/>
  <c r="V25" i="2" s="1"/>
  <c r="Y22" i="2"/>
  <c r="Y26" i="2"/>
  <c r="Y24" i="2"/>
  <c r="Y19" i="2"/>
  <c r="Y23" i="2"/>
  <c r="Y20" i="2"/>
  <c r="Y21" i="2"/>
  <c r="Y25" i="2"/>
  <c r="Z26" i="2"/>
  <c r="U18" i="2"/>
  <c r="U25" i="2" s="1"/>
  <c r="W18" i="2"/>
  <c r="W25" i="2" s="1"/>
  <c r="X18" i="2"/>
  <c r="X25" i="2" s="1"/>
  <c r="Z21" i="2"/>
  <c r="Z22" i="2"/>
  <c r="Z20" i="2"/>
  <c r="Z23" i="2"/>
  <c r="Z19" i="2"/>
  <c r="Z24" i="2"/>
  <c r="T26" i="2" l="1"/>
  <c r="T25" i="2"/>
  <c r="T24" i="2"/>
  <c r="T21" i="2"/>
  <c r="T20" i="2"/>
  <c r="S21" i="2"/>
  <c r="S23" i="2"/>
  <c r="S19" i="2"/>
  <c r="S22" i="2"/>
  <c r="S24" i="2"/>
  <c r="S26" i="2"/>
  <c r="S25" i="2"/>
  <c r="T23" i="2"/>
  <c r="T22" i="2"/>
  <c r="U24" i="2"/>
  <c r="V22" i="2"/>
  <c r="V20" i="2"/>
  <c r="V21" i="2"/>
  <c r="V19" i="2"/>
  <c r="V24" i="2"/>
  <c r="V23" i="2"/>
  <c r="V26" i="2"/>
  <c r="W24" i="2"/>
  <c r="W26" i="2"/>
  <c r="U26" i="2"/>
  <c r="X22" i="2"/>
  <c r="X24" i="2"/>
  <c r="X19" i="2"/>
  <c r="X23" i="2"/>
  <c r="X20" i="2"/>
  <c r="X21" i="2"/>
  <c r="W19" i="2"/>
  <c r="W23" i="2"/>
  <c r="W20" i="2"/>
  <c r="W22" i="2"/>
  <c r="W21" i="2"/>
  <c r="U23" i="2"/>
  <c r="U20" i="2"/>
  <c r="U19" i="2"/>
  <c r="U22" i="2"/>
  <c r="U21" i="2"/>
  <c r="X26" i="2"/>
  <c r="AD25" i="2" l="1"/>
  <c r="C11" i="2" s="1"/>
  <c r="AD20" i="2"/>
  <c r="C6" i="2" s="1"/>
  <c r="AD19" i="2"/>
  <c r="C5" i="2" s="1"/>
  <c r="AD23" i="2"/>
  <c r="C9" i="2" s="1"/>
  <c r="AD24" i="2"/>
  <c r="C10" i="2" s="1"/>
  <c r="AD26" i="2"/>
  <c r="AD21" i="2"/>
  <c r="C7" i="2" s="1"/>
  <c r="AD22" i="2"/>
  <c r="C8" i="2" s="1"/>
  <c r="D9" i="2" l="1"/>
  <c r="D9" i="3" s="1"/>
  <c r="AF21" i="2"/>
  <c r="AG21" i="2" s="1"/>
  <c r="D10" i="2"/>
  <c r="D10" i="3" s="1"/>
  <c r="D8" i="2"/>
  <c r="D8" i="3" s="1"/>
  <c r="D6" i="2"/>
  <c r="D6" i="3" s="1"/>
  <c r="AF26" i="2"/>
  <c r="AG26" i="2" s="1"/>
  <c r="D11" i="2"/>
  <c r="D11" i="3" s="1"/>
  <c r="AF25" i="2"/>
  <c r="AG25" i="2" s="1"/>
  <c r="AF20" i="2"/>
  <c r="AG20" i="2" s="1"/>
  <c r="AF24" i="2"/>
  <c r="AG24" i="2" s="1"/>
  <c r="D7" i="2"/>
  <c r="D7" i="3" s="1"/>
  <c r="AF23" i="2"/>
  <c r="AG23" i="2" s="1"/>
  <c r="AF19" i="2"/>
  <c r="AG19" i="2" s="1"/>
  <c r="D5" i="2"/>
  <c r="D5" i="3" s="1"/>
  <c r="C12" i="2"/>
  <c r="E8" i="2" s="1"/>
  <c r="AF22" i="2"/>
  <c r="AG22" i="2" s="1"/>
  <c r="D12" i="2"/>
  <c r="D12" i="3" s="1"/>
  <c r="E9" i="2"/>
  <c r="C9" i="3"/>
  <c r="C7" i="3"/>
  <c r="C11" i="3"/>
  <c r="C6" i="3"/>
  <c r="C5" i="3"/>
  <c r="C8" i="3"/>
  <c r="C10" i="3"/>
  <c r="E7" i="2" l="1"/>
  <c r="E11" i="2"/>
  <c r="AG30" i="2"/>
  <c r="AG35" i="2" s="1"/>
  <c r="AG37" i="2" s="1"/>
  <c r="H13" i="2" s="1"/>
  <c r="I13" i="2" s="1"/>
  <c r="C12" i="3"/>
  <c r="F14" i="3" s="1"/>
  <c r="E10" i="2"/>
  <c r="E12" i="2"/>
  <c r="E5" i="2"/>
  <c r="E6" i="2"/>
  <c r="I14" i="3" l="1"/>
  <c r="E14" i="3"/>
  <c r="L14" i="3"/>
  <c r="K14" i="3"/>
  <c r="J14" i="3"/>
  <c r="H14" i="3"/>
  <c r="G14" i="3"/>
  <c r="J15" i="3" l="1"/>
  <c r="H15" i="3"/>
  <c r="F15" i="3"/>
  <c r="I15" i="3"/>
  <c r="L15" i="3"/>
  <c r="G15" i="3"/>
  <c r="E15" i="3"/>
  <c r="K15" i="3"/>
  <c r="E16" i="3"/>
</calcChain>
</file>

<file path=xl/sharedStrings.xml><?xml version="1.0" encoding="utf-8"?>
<sst xmlns="http://schemas.openxmlformats.org/spreadsheetml/2006/main" count="100" uniqueCount="89">
  <si>
    <t>Planilha AHP — Cálculo dos Pesos por Critério</t>
  </si>
  <si>
    <t>Método: Analytic Hierarchy Process (AHP) — Saaty (1980)</t>
  </si>
  <si>
    <t>▶  Roteiro de Uso — Passo a Passo</t>
  </si>
  <si>
    <t>1.</t>
  </si>
  <si>
    <t>Identificação do tema</t>
  </si>
  <si>
    <t>Preencha o campo 'Identificação do tema' na célula H1 da aba principal.</t>
  </si>
  <si>
    <t>2.</t>
  </si>
  <si>
    <t>Número de critérios</t>
  </si>
  <si>
    <t>Informe o nº de critérios (2–10) na célula D2 da aba principal.</t>
  </si>
  <si>
    <t>3.</t>
  </si>
  <si>
    <t>Nomes dos critérios</t>
  </si>
  <si>
    <t>Preencha os nomes dos critérios nas células B5:B14.</t>
  </si>
  <si>
    <t>4.</t>
  </si>
  <si>
    <t>Matriz de comparação</t>
  </si>
  <si>
    <t>Preencha apenas o triângulo SUPERIOR (células amarelas, acima da diagonal). Use os valores da tabela de Importância Relativa.</t>
  </si>
  <si>
    <t>5.</t>
  </si>
  <si>
    <t>Leitura: linha vs coluna</t>
  </si>
  <si>
    <t>Compare sempre LINHA (i) em relação à COLUNA (j). Ex.: Critério 1 fortemente mais importante que Critério 2 → preencha 7 na posição (linha 1, col 2).</t>
  </si>
  <si>
    <t>6.</t>
  </si>
  <si>
    <t>Resultados automáticos</t>
  </si>
  <si>
    <t>Pesos (col C) e Razão de Consistência (H13) são calculados automaticamente.</t>
  </si>
  <si>
    <t>7.</t>
  </si>
  <si>
    <t>Verificação da consistência</t>
  </si>
  <si>
    <t>Se RC &gt; 0,10, os julgamentos estão inconsistentes. Revise a matriz até RC ≤ 0,10.</t>
  </si>
  <si>
    <t>8.</t>
  </si>
  <si>
    <t>Avaliação dos sítios</t>
  </si>
  <si>
    <t>Na aba 'Avaliação dos Sítios', atribua notas 1–9 a cada sítio por critério. Si = Σ wj × vij é calculada automaticamente.</t>
  </si>
  <si>
    <t>Legenda de Cores</t>
  </si>
  <si>
    <t>Células a preencher pelo usuário (input)</t>
  </si>
  <si>
    <t>Calculadas automaticamente (não editar)</t>
  </si>
  <si>
    <t>Diagonal (fixo = 1)</t>
  </si>
  <si>
    <t>Triângulo inferior (recíproco automático)</t>
  </si>
  <si>
    <t>AHP — Cálculo dos Pesos por Critério</t>
  </si>
  <si>
    <t>Identificação do tema em estudo</t>
  </si>
  <si>
    <t>Número de critérios da análise:</t>
  </si>
  <si>
    <t>Critérios e Pesos Calculados</t>
  </si>
  <si>
    <t>Nº</t>
  </si>
  <si>
    <t>Nome do Critério</t>
  </si>
  <si>
    <t>Peso</t>
  </si>
  <si>
    <t>Peso (%)</t>
  </si>
  <si>
    <t>Ranking</t>
  </si>
  <si>
    <t>Tabela de Importância Relativa</t>
  </si>
  <si>
    <t>Infraestrutura disponível</t>
  </si>
  <si>
    <t>Descrição</t>
  </si>
  <si>
    <t>Valor</t>
  </si>
  <si>
    <t>Descrição Inversa</t>
  </si>
  <si>
    <t>Valor Inverso</t>
  </si>
  <si>
    <t>Ruído</t>
  </si>
  <si>
    <t>Igual importância</t>
  </si>
  <si>
    <t>—</t>
  </si>
  <si>
    <t>1</t>
  </si>
  <si>
    <t>Acessibilidade</t>
  </si>
  <si>
    <t>Moderadamente mais importante</t>
  </si>
  <si>
    <t>Moderadamente menos importante</t>
  </si>
  <si>
    <t>1/3</t>
  </si>
  <si>
    <t>Privacidade</t>
  </si>
  <si>
    <t>Mais importante</t>
  </si>
  <si>
    <t>Menos importante</t>
  </si>
  <si>
    <t>1/5</t>
  </si>
  <si>
    <t>Eficiência</t>
  </si>
  <si>
    <t>Fortemente mais importante</t>
  </si>
  <si>
    <t>Fortemente menos importante</t>
  </si>
  <si>
    <t>1/7</t>
  </si>
  <si>
    <t>Horas de Operação</t>
  </si>
  <si>
    <t>Extremamente mais importante</t>
  </si>
  <si>
    <t>Extremamente menos importante</t>
  </si>
  <si>
    <t>1/9</t>
  </si>
  <si>
    <t>Impacto Ambiental</t>
  </si>
  <si>
    <t>Valores intermediários: 2, 4, 6, 8 (e recíprocos). Para julgamentos entre dois níveis.</t>
  </si>
  <si>
    <t>Segurança</t>
  </si>
  <si>
    <t>Razão de Consistência (RC):</t>
  </si>
  <si>
    <t>Matriz de Comparação Pareada  ★  Preencha apenas o triângulo SUPERIOR (células amarelas)</t>
  </si>
  <si>
    <t>Compare LINHA (i) em relação à COLUNA (j). Diagonal = 1 (fixo). Triângulo inferior = recíproco automático.</t>
  </si>
  <si>
    <t>↓ i \ j →</t>
  </si>
  <si>
    <t>Avaliação dos Sítios  —  Si = Σ wj × vij</t>
  </si>
  <si>
    <t>Preencha nomes dos sítios (linha 4) e pontuações 1–9 (amarelo). Pesos importados automaticamente da aba AHP.</t>
  </si>
  <si>
    <t>Critério</t>
  </si>
  <si>
    <t>Sítio A</t>
  </si>
  <si>
    <t>Sítio B</t>
  </si>
  <si>
    <t>Sítio C</t>
  </si>
  <si>
    <t>Sítio D</t>
  </si>
  <si>
    <t>Sítio E</t>
  </si>
  <si>
    <t>▶ Nomes dos sítios:</t>
  </si>
  <si>
    <t>Pontuação Final  Si = Σ wj × vij</t>
  </si>
  <si>
    <t>Ranking (1 = melhor)</t>
  </si>
  <si>
    <t>▶ Sítio preferencial:</t>
  </si>
  <si>
    <t>Sítio F</t>
  </si>
  <si>
    <t>Sítio G</t>
  </si>
  <si>
    <t>Sítio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</si>
</sst>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2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444444"/>
      <name val="Arial"/>
      <charset val="1"/>
    </font>
    <font>
      <b/>
      <sz val="12"/>
      <color rgb="FFFFFFFF"/>
      <name val="Arial"/>
      <charset val="1"/>
    </font>
    <font>
      <b/>
      <sz val="14"/>
      <color rgb="FF2E75B6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C00000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i/>
      <sz val="9"/>
      <color rgb="FF555555"/>
      <name val="Arial"/>
      <charset val="1"/>
    </font>
    <font>
      <b/>
      <sz val="10"/>
      <color rgb="FF1F3864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i/>
      <sz val="9"/>
      <color rgb="FF7F7F7F"/>
      <name val="Arial"/>
      <charset val="1"/>
    </font>
    <font>
      <b/>
      <sz val="9"/>
      <color rgb="FFFFFFFF"/>
      <name val="Arial"/>
      <charset val="1"/>
    </font>
    <font>
      <b/>
      <sz val="10"/>
      <color rgb="FFC00000"/>
      <name val="Arial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1"/>
      <color rgb="FFC00000"/>
      <name val="Arial"/>
      <charset val="1"/>
    </font>
    <font>
      <b/>
      <sz val="11"/>
      <name val="Arial"/>
      <charset val="1"/>
    </font>
    <font>
      <b/>
      <sz val="10"/>
      <color theme="1" tint="0.499984740745262"/>
      <name val="Arial"/>
      <family val="2"/>
    </font>
    <font>
      <i/>
      <sz val="9"/>
      <color theme="1" tint="0.499984740745262"/>
      <name val="Arial"/>
      <family val="2"/>
    </font>
    <font>
      <u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6E4BC"/>
      </patternFill>
    </fill>
    <fill>
      <patternFill patternType="solid">
        <fgColor rgb="FF2E75B6"/>
        <bgColor rgb="FF0066CC"/>
      </patternFill>
    </fill>
    <fill>
      <patternFill patternType="solid">
        <fgColor rgb="FFF5F9FF"/>
        <bgColor rgb="FFF0F7FF"/>
      </patternFill>
    </fill>
    <fill>
      <patternFill patternType="solid">
        <fgColor rgb="FFFFFFFF"/>
        <bgColor rgb="FFF5F9FF"/>
      </patternFill>
    </fill>
    <fill>
      <patternFill patternType="solid">
        <fgColor rgb="FFFFF2CC"/>
        <bgColor rgb="FFFFFAE6"/>
      </patternFill>
    </fill>
    <fill>
      <patternFill patternType="solid">
        <fgColor rgb="FFEDEDED"/>
        <bgColor rgb="FFE2EFDA"/>
      </patternFill>
    </fill>
    <fill>
      <patternFill patternType="solid">
        <fgColor rgb="FFD6E4BC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0F7FF"/>
        <bgColor rgb="FFF5F9FF"/>
      </patternFill>
    </fill>
    <fill>
      <patternFill patternType="solid">
        <fgColor rgb="FFFFFAE6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theme="1" tint="0.499984740745262"/>
        <bgColor rgb="FFD6E4BC"/>
      </patternFill>
    </fill>
    <fill>
      <patternFill patternType="solid">
        <fgColor theme="1" tint="0.499984740745262"/>
        <bgColor rgb="FFFFFAE6"/>
      </patternFill>
    </fill>
    <fill>
      <patternFill patternType="solid">
        <fgColor theme="1" tint="0.499984740745262"/>
        <bgColor rgb="FFE2EFDA"/>
      </patternFill>
    </fill>
    <fill>
      <patternFill patternType="solid">
        <fgColor theme="1" tint="0.499984740745262"/>
        <bgColor rgb="FF0066CC"/>
      </patternFill>
    </fill>
    <fill>
      <patternFill patternType="solid">
        <fgColor theme="1" tint="0.499984740745262"/>
        <bgColor rgb="FFFFF2CC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1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164" fontId="6" fillId="8" borderId="0" xfId="0" applyNumberFormat="1" applyFont="1" applyFill="1" applyAlignment="1">
      <alignment horizontal="center" vertical="center"/>
    </xf>
    <xf numFmtId="10" fontId="6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5" fontId="0" fillId="0" borderId="0" xfId="0" applyNumberFormat="1"/>
    <xf numFmtId="0" fontId="11" fillId="2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1" fillId="8" borderId="0" xfId="0" applyFont="1" applyFill="1"/>
    <xf numFmtId="164" fontId="0" fillId="8" borderId="0" xfId="0" applyNumberFormat="1" applyFill="1" applyAlignment="1">
      <alignment horizontal="center"/>
    </xf>
    <xf numFmtId="10" fontId="0" fillId="8" borderId="0" xfId="0" applyNumberFormat="1" applyFill="1" applyAlignment="1">
      <alignment horizontal="center"/>
    </xf>
    <xf numFmtId="0" fontId="22" fillId="7" borderId="3" xfId="0" applyFont="1" applyFill="1" applyBorder="1" applyAlignment="1">
      <alignment horizontal="center" vertical="center"/>
    </xf>
    <xf numFmtId="164" fontId="15" fillId="13" borderId="1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6" fillId="14" borderId="0" xfId="0" applyFont="1" applyFill="1" applyAlignment="1">
      <alignment horizontal="center" vertical="center"/>
    </xf>
    <xf numFmtId="0" fontId="6" fillId="15" borderId="3" xfId="0" applyFont="1" applyFill="1" applyBorder="1" applyAlignment="1">
      <alignment horizontal="left" vertical="center"/>
    </xf>
    <xf numFmtId="164" fontId="6" fillId="16" borderId="0" xfId="0" applyNumberFormat="1" applyFont="1" applyFill="1" applyAlignment="1">
      <alignment horizontal="center" vertical="center"/>
    </xf>
    <xf numFmtId="10" fontId="6" fillId="16" borderId="0" xfId="0" applyNumberFormat="1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166" fontId="17" fillId="18" borderId="3" xfId="0" applyNumberFormat="1" applyFont="1" applyFill="1" applyBorder="1" applyAlignment="1">
      <alignment horizontal="center" vertical="center"/>
    </xf>
    <xf numFmtId="0" fontId="24" fillId="16" borderId="3" xfId="0" applyFont="1" applyFill="1" applyBorder="1" applyAlignment="1">
      <alignment horizontal="center" vertical="center"/>
    </xf>
    <xf numFmtId="0" fontId="24" fillId="15" borderId="3" xfId="0" applyFont="1" applyFill="1" applyBorder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166" fontId="25" fillId="18" borderId="3" xfId="0" applyNumberFormat="1" applyFont="1" applyFill="1" applyBorder="1" applyAlignment="1">
      <alignment horizontal="center" vertical="center"/>
    </xf>
    <xf numFmtId="0" fontId="26" fillId="0" borderId="0" xfId="0" applyFont="1"/>
    <xf numFmtId="0" fontId="13" fillId="12" borderId="0" xfId="0" applyFont="1" applyFill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left" vertical="center" wrapText="1"/>
    </xf>
    <xf numFmtId="0" fontId="12" fillId="11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/>
    </xf>
    <xf numFmtId="2" fontId="16" fillId="9" borderId="3" xfId="0" applyNumberFormat="1" applyFont="1" applyFill="1" applyBorder="1" applyAlignment="1">
      <alignment horizontal="center" vertical="center"/>
    </xf>
    <xf numFmtId="2" fontId="19" fillId="7" borderId="3" xfId="0" applyNumberFormat="1" applyFont="1" applyFill="1" applyBorder="1" applyAlignment="1">
      <alignment horizontal="center" vertical="center"/>
    </xf>
    <xf numFmtId="2" fontId="17" fillId="1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BC"/>
      <rgbColor rgb="FF7F7F7F"/>
      <rgbColor rgb="FF9999FF"/>
      <rgbColor rgb="FF993366"/>
      <rgbColor rgb="FFFFFAE6"/>
      <rgbColor rgb="FFF0F7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F"/>
      <rgbColor rgb="FFE2EFDA"/>
      <rgbColor rgb="FFFFF2CC"/>
      <rgbColor rgb="FFEDEDED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opLeftCell="A14" zoomScaleNormal="100" workbookViewId="0">
      <selection activeCell="B24" sqref="B24"/>
    </sheetView>
  </sheetViews>
  <sheetFormatPr defaultColWidth="8.6640625" defaultRowHeight="14.4" x14ac:dyDescent="0.3"/>
  <cols>
    <col min="1" max="1" width="6" customWidth="1"/>
    <col min="2" max="2" width="5" customWidth="1"/>
    <col min="3" max="3" width="58" customWidth="1"/>
    <col min="4" max="4" width="10" customWidth="1"/>
  </cols>
  <sheetData>
    <row r="1" spans="1:4" ht="36" customHeight="1" x14ac:dyDescent="0.3">
      <c r="A1" s="54" t="s">
        <v>0</v>
      </c>
      <c r="B1" s="54"/>
      <c r="C1" s="54"/>
      <c r="D1" s="54"/>
    </row>
    <row r="2" spans="1:4" ht="21.75" customHeight="1" x14ac:dyDescent="0.3">
      <c r="A2" s="55" t="s">
        <v>1</v>
      </c>
      <c r="B2" s="55"/>
      <c r="C2" s="55"/>
      <c r="D2" s="55"/>
    </row>
    <row r="4" spans="1:4" ht="27.75" customHeight="1" x14ac:dyDescent="0.3">
      <c r="A4" s="56" t="s">
        <v>2</v>
      </c>
      <c r="B4" s="56"/>
      <c r="C4" s="56"/>
      <c r="D4" s="56"/>
    </row>
    <row r="5" spans="1:4" ht="21.75" customHeight="1" x14ac:dyDescent="0.3">
      <c r="A5" s="2" t="s">
        <v>3</v>
      </c>
      <c r="B5" s="51" t="s">
        <v>4</v>
      </c>
      <c r="C5" s="51"/>
      <c r="D5" s="51"/>
    </row>
    <row r="6" spans="1:4" ht="33.75" customHeight="1" x14ac:dyDescent="0.3">
      <c r="B6" s="52" t="s">
        <v>5</v>
      </c>
      <c r="C6" s="52"/>
      <c r="D6" s="52"/>
    </row>
    <row r="7" spans="1:4" ht="21.75" customHeight="1" x14ac:dyDescent="0.3">
      <c r="A7" s="2" t="s">
        <v>6</v>
      </c>
      <c r="B7" s="51" t="s">
        <v>7</v>
      </c>
      <c r="C7" s="51"/>
      <c r="D7" s="51"/>
    </row>
    <row r="8" spans="1:4" ht="33.75" customHeight="1" x14ac:dyDescent="0.3">
      <c r="B8" s="53" t="s">
        <v>8</v>
      </c>
      <c r="C8" s="53"/>
      <c r="D8" s="53"/>
    </row>
    <row r="9" spans="1:4" ht="21.75" customHeight="1" x14ac:dyDescent="0.3">
      <c r="A9" s="2" t="s">
        <v>9</v>
      </c>
      <c r="B9" s="51" t="s">
        <v>10</v>
      </c>
      <c r="C9" s="51"/>
      <c r="D9" s="51"/>
    </row>
    <row r="10" spans="1:4" ht="33.75" customHeight="1" x14ac:dyDescent="0.3">
      <c r="B10" s="52" t="s">
        <v>11</v>
      </c>
      <c r="C10" s="52"/>
      <c r="D10" s="52"/>
    </row>
    <row r="11" spans="1:4" ht="21.75" customHeight="1" x14ac:dyDescent="0.3">
      <c r="A11" s="2" t="s">
        <v>12</v>
      </c>
      <c r="B11" s="51" t="s">
        <v>13</v>
      </c>
      <c r="C11" s="51"/>
      <c r="D11" s="51"/>
    </row>
    <row r="12" spans="1:4" ht="33.75" customHeight="1" x14ac:dyDescent="0.3">
      <c r="B12" s="53" t="s">
        <v>14</v>
      </c>
      <c r="C12" s="53"/>
      <c r="D12" s="53"/>
    </row>
    <row r="13" spans="1:4" ht="21.75" customHeight="1" x14ac:dyDescent="0.3">
      <c r="A13" s="2" t="s">
        <v>15</v>
      </c>
      <c r="B13" s="51" t="s">
        <v>16</v>
      </c>
      <c r="C13" s="51"/>
      <c r="D13" s="51"/>
    </row>
    <row r="14" spans="1:4" ht="33.75" customHeight="1" x14ac:dyDescent="0.3">
      <c r="B14" s="52" t="s">
        <v>17</v>
      </c>
      <c r="C14" s="52"/>
      <c r="D14" s="52"/>
    </row>
    <row r="15" spans="1:4" ht="21.75" customHeight="1" x14ac:dyDescent="0.3">
      <c r="A15" s="2" t="s">
        <v>18</v>
      </c>
      <c r="B15" s="51" t="s">
        <v>19</v>
      </c>
      <c r="C15" s="51"/>
      <c r="D15" s="51"/>
    </row>
    <row r="16" spans="1:4" ht="33.75" customHeight="1" x14ac:dyDescent="0.3">
      <c r="B16" s="53" t="s">
        <v>20</v>
      </c>
      <c r="C16" s="53"/>
      <c r="D16" s="53"/>
    </row>
    <row r="17" spans="1:4" ht="21.75" customHeight="1" x14ac:dyDescent="0.3">
      <c r="A17" s="2" t="s">
        <v>21</v>
      </c>
      <c r="B17" s="51" t="s">
        <v>22</v>
      </c>
      <c r="C17" s="51"/>
      <c r="D17" s="51"/>
    </row>
    <row r="18" spans="1:4" ht="33.75" customHeight="1" x14ac:dyDescent="0.3">
      <c r="B18" s="52" t="s">
        <v>23</v>
      </c>
      <c r="C18" s="52"/>
      <c r="D18" s="52"/>
    </row>
    <row r="19" spans="1:4" ht="21.75" customHeight="1" x14ac:dyDescent="0.3">
      <c r="A19" s="2" t="s">
        <v>24</v>
      </c>
      <c r="B19" s="51" t="s">
        <v>25</v>
      </c>
      <c r="C19" s="51"/>
      <c r="D19" s="51"/>
    </row>
    <row r="20" spans="1:4" ht="33.75" customHeight="1" x14ac:dyDescent="0.3">
      <c r="B20" s="53" t="s">
        <v>26</v>
      </c>
      <c r="C20" s="53"/>
      <c r="D20" s="53"/>
    </row>
    <row r="22" spans="1:4" x14ac:dyDescent="0.3">
      <c r="A22" s="41" t="s">
        <v>27</v>
      </c>
      <c r="B22" s="41"/>
      <c r="C22" s="41"/>
      <c r="D22" s="41"/>
    </row>
    <row r="23" spans="1:4" ht="21.75" customHeight="1" x14ac:dyDescent="0.3">
      <c r="B23" s="3"/>
      <c r="C23" s="50" t="s">
        <v>28</v>
      </c>
      <c r="D23" s="50"/>
    </row>
    <row r="24" spans="1:4" ht="21.75" customHeight="1" x14ac:dyDescent="0.3">
      <c r="B24" s="4"/>
      <c r="C24" s="50" t="s">
        <v>29</v>
      </c>
      <c r="D24" s="50"/>
    </row>
    <row r="25" spans="1:4" ht="21.75" customHeight="1" x14ac:dyDescent="0.3">
      <c r="B25" s="5"/>
      <c r="C25" s="50" t="s">
        <v>30</v>
      </c>
      <c r="D25" s="50"/>
    </row>
    <row r="26" spans="1:4" ht="21.75" customHeight="1" x14ac:dyDescent="0.3">
      <c r="B26" s="6"/>
      <c r="C26" s="50" t="s">
        <v>31</v>
      </c>
      <c r="D26" s="50"/>
    </row>
  </sheetData>
  <mergeCells count="24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C23:D23"/>
    <mergeCell ref="C24:D24"/>
    <mergeCell ref="C25:D25"/>
    <mergeCell ref="C26:D26"/>
    <mergeCell ref="B17:D17"/>
    <mergeCell ref="B18:D18"/>
    <mergeCell ref="B19:D19"/>
    <mergeCell ref="B20:D20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"/>
  <sheetViews>
    <sheetView topLeftCell="A2" zoomScaleNormal="100" workbookViewId="0">
      <selection activeCell="G23" sqref="G23"/>
    </sheetView>
  </sheetViews>
  <sheetFormatPr defaultColWidth="8.6640625" defaultRowHeight="14.4" x14ac:dyDescent="0.3"/>
  <cols>
    <col min="1" max="1" width="10" customWidth="1"/>
    <col min="2" max="2" width="25.88671875" customWidth="1"/>
    <col min="3" max="3" width="10.88671875" customWidth="1"/>
    <col min="4" max="4" width="11.5546875" customWidth="1"/>
    <col min="5" max="5" width="8" customWidth="1"/>
    <col min="6" max="6" width="30" customWidth="1"/>
    <col min="7" max="7" width="19.88671875" customWidth="1"/>
    <col min="8" max="8" width="14" customWidth="1"/>
    <col min="9" max="9" width="48" customWidth="1"/>
    <col min="10" max="11" width="8" customWidth="1"/>
    <col min="19" max="33" width="13" hidden="1" customWidth="1"/>
    <col min="34" max="43" width="13" customWidth="1"/>
  </cols>
  <sheetData>
    <row r="1" spans="1:14" ht="31.5" customHeight="1" x14ac:dyDescent="0.3">
      <c r="A1" s="46" t="s">
        <v>32</v>
      </c>
      <c r="B1" s="46"/>
      <c r="C1" s="46"/>
      <c r="D1" s="46"/>
      <c r="E1" s="46"/>
      <c r="F1" s="46"/>
      <c r="G1" s="46"/>
      <c r="H1" s="47" t="s">
        <v>33</v>
      </c>
      <c r="I1" s="47"/>
      <c r="J1" s="47"/>
      <c r="K1" s="47"/>
      <c r="L1" s="47"/>
      <c r="M1" s="47"/>
      <c r="N1" s="47"/>
    </row>
    <row r="2" spans="1:14" ht="15.6" x14ac:dyDescent="0.3">
      <c r="A2" s="48" t="s">
        <v>34</v>
      </c>
      <c r="B2" s="48"/>
      <c r="C2" s="48"/>
      <c r="D2" s="7">
        <v>8</v>
      </c>
    </row>
    <row r="3" spans="1:14" x14ac:dyDescent="0.3">
      <c r="A3" s="49" t="s">
        <v>35</v>
      </c>
      <c r="B3" s="49"/>
      <c r="C3" s="49"/>
      <c r="D3" s="49"/>
      <c r="E3" s="49"/>
    </row>
    <row r="4" spans="1:14" x14ac:dyDescent="0.3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49" t="s">
        <v>41</v>
      </c>
      <c r="G4" s="49"/>
      <c r="H4" s="49"/>
      <c r="I4" s="49"/>
      <c r="J4" s="49"/>
      <c r="K4" s="49"/>
      <c r="L4" s="49"/>
      <c r="M4" s="49"/>
    </row>
    <row r="5" spans="1:14" ht="19.5" customHeight="1" x14ac:dyDescent="0.3">
      <c r="A5" s="8">
        <v>1</v>
      </c>
      <c r="B5" s="9" t="s">
        <v>42</v>
      </c>
      <c r="C5" s="10">
        <f t="shared" ref="C5:C14" si="0">AD19</f>
        <v>9.8321785079422075E-2</v>
      </c>
      <c r="D5" s="11">
        <f>AD19/SUM(AD19:AD28)</f>
        <v>9.8321785079422075E-2</v>
      </c>
      <c r="E5" s="12">
        <f t="shared" ref="E5:E14" si="1">RANK(C5,C$5:C$14,0)</f>
        <v>5</v>
      </c>
      <c r="F5" s="45" t="s">
        <v>43</v>
      </c>
      <c r="G5" s="45"/>
      <c r="H5" s="1" t="s">
        <v>44</v>
      </c>
      <c r="J5" s="45" t="s">
        <v>45</v>
      </c>
      <c r="K5" s="45"/>
      <c r="L5" s="1" t="s">
        <v>46</v>
      </c>
    </row>
    <row r="6" spans="1:14" ht="19.5" customHeight="1" x14ac:dyDescent="0.3">
      <c r="A6" s="8">
        <v>2</v>
      </c>
      <c r="B6" s="9" t="s">
        <v>47</v>
      </c>
      <c r="C6" s="10">
        <f t="shared" si="0"/>
        <v>0.238977980092592</v>
      </c>
      <c r="D6" s="11">
        <f>AD20/SUM(AD19:AD28)</f>
        <v>0.238977980092592</v>
      </c>
      <c r="E6" s="12">
        <f t="shared" si="1"/>
        <v>2</v>
      </c>
      <c r="F6" s="43" t="s">
        <v>48</v>
      </c>
      <c r="G6" s="43"/>
      <c r="H6" s="13">
        <v>1</v>
      </c>
      <c r="J6" s="43" t="s">
        <v>49</v>
      </c>
      <c r="K6" s="43"/>
      <c r="L6" s="13" t="s">
        <v>50</v>
      </c>
    </row>
    <row r="7" spans="1:14" ht="19.5" customHeight="1" x14ac:dyDescent="0.3">
      <c r="A7" s="8">
        <v>3</v>
      </c>
      <c r="B7" s="9" t="s">
        <v>51</v>
      </c>
      <c r="C7" s="10">
        <f t="shared" si="0"/>
        <v>0.17933970655238268</v>
      </c>
      <c r="D7" s="11">
        <f>AD21/SUM(AD19:AD28)</f>
        <v>0.17933970655238268</v>
      </c>
      <c r="E7" s="12">
        <f t="shared" si="1"/>
        <v>3</v>
      </c>
      <c r="F7" s="44" t="s">
        <v>52</v>
      </c>
      <c r="G7" s="44"/>
      <c r="H7" s="14">
        <v>3</v>
      </c>
      <c r="J7" s="44" t="s">
        <v>53</v>
      </c>
      <c r="K7" s="44"/>
      <c r="L7" s="14" t="s">
        <v>54</v>
      </c>
    </row>
    <row r="8" spans="1:14" ht="19.5" customHeight="1" x14ac:dyDescent="0.3">
      <c r="A8" s="8">
        <v>4</v>
      </c>
      <c r="B8" s="9" t="s">
        <v>55</v>
      </c>
      <c r="C8" s="10">
        <f t="shared" si="0"/>
        <v>4.0826321873244732E-2</v>
      </c>
      <c r="D8" s="11">
        <f>AD22/SUM(AD19:AD28)</f>
        <v>4.0826321873244732E-2</v>
      </c>
      <c r="E8" s="12">
        <f t="shared" si="1"/>
        <v>6</v>
      </c>
      <c r="F8" s="43" t="s">
        <v>56</v>
      </c>
      <c r="G8" s="43"/>
      <c r="H8" s="13">
        <v>5</v>
      </c>
      <c r="J8" s="43" t="s">
        <v>57</v>
      </c>
      <c r="K8" s="43"/>
      <c r="L8" s="13" t="s">
        <v>58</v>
      </c>
    </row>
    <row r="9" spans="1:14" ht="19.5" customHeight="1" x14ac:dyDescent="0.3">
      <c r="A9" s="8">
        <v>5</v>
      </c>
      <c r="B9" s="9" t="s">
        <v>59</v>
      </c>
      <c r="C9" s="10">
        <f t="shared" si="0"/>
        <v>4.0258799398406583E-2</v>
      </c>
      <c r="D9" s="11">
        <f>AD23/SUM(AD19:AD28)</f>
        <v>4.0258799398406583E-2</v>
      </c>
      <c r="E9" s="12">
        <f t="shared" si="1"/>
        <v>7</v>
      </c>
      <c r="F9" s="44" t="s">
        <v>60</v>
      </c>
      <c r="G9" s="44"/>
      <c r="H9" s="14">
        <v>7</v>
      </c>
      <c r="J9" s="44" t="s">
        <v>61</v>
      </c>
      <c r="K9" s="44"/>
      <c r="L9" s="14" t="s">
        <v>62</v>
      </c>
    </row>
    <row r="10" spans="1:14" ht="19.5" customHeight="1" x14ac:dyDescent="0.3">
      <c r="A10" s="8">
        <v>6</v>
      </c>
      <c r="B10" s="9" t="s">
        <v>63</v>
      </c>
      <c r="C10" s="10">
        <f t="shared" si="0"/>
        <v>2.307024745249435E-2</v>
      </c>
      <c r="D10" s="11">
        <f>AD24/SUM(AD19:AD28)</f>
        <v>2.307024745249435E-2</v>
      </c>
      <c r="E10" s="12">
        <f t="shared" si="1"/>
        <v>8</v>
      </c>
      <c r="F10" s="43" t="s">
        <v>64</v>
      </c>
      <c r="G10" s="43"/>
      <c r="H10" s="13">
        <v>9</v>
      </c>
      <c r="J10" s="43" t="s">
        <v>65</v>
      </c>
      <c r="K10" s="43"/>
      <c r="L10" s="13" t="s">
        <v>66</v>
      </c>
    </row>
    <row r="11" spans="1:14" ht="19.5" customHeight="1" x14ac:dyDescent="0.3">
      <c r="A11" s="8">
        <v>7</v>
      </c>
      <c r="B11" s="9" t="s">
        <v>67</v>
      </c>
      <c r="C11" s="10">
        <f t="shared" si="0"/>
        <v>0.10828445775225012</v>
      </c>
      <c r="D11" s="11">
        <f>AD25/SUM(AD19:AD28)</f>
        <v>0.10828445775225012</v>
      </c>
      <c r="E11" s="12">
        <f t="shared" si="1"/>
        <v>4</v>
      </c>
      <c r="F11" s="38" t="s">
        <v>68</v>
      </c>
      <c r="G11" s="38"/>
      <c r="H11" s="38"/>
      <c r="I11" s="38"/>
      <c r="J11" s="38"/>
      <c r="K11" s="38"/>
      <c r="L11" s="38"/>
      <c r="M11" s="38"/>
    </row>
    <row r="12" spans="1:14" ht="19.5" customHeight="1" x14ac:dyDescent="0.3">
      <c r="A12" s="8">
        <v>8</v>
      </c>
      <c r="B12" s="9" t="s">
        <v>69</v>
      </c>
      <c r="C12" s="10">
        <f t="shared" si="0"/>
        <v>0.27092070179920752</v>
      </c>
      <c r="D12" s="11">
        <f>AD26/SUM(AD19:AD28)</f>
        <v>0.27092070179920752</v>
      </c>
      <c r="E12" s="12">
        <f t="shared" si="1"/>
        <v>1</v>
      </c>
    </row>
    <row r="13" spans="1:14" ht="19.5" customHeight="1" x14ac:dyDescent="0.3">
      <c r="A13" s="26"/>
      <c r="B13" s="27"/>
      <c r="C13" s="28"/>
      <c r="D13" s="29"/>
      <c r="E13" s="30"/>
      <c r="F13" s="39" t="s">
        <v>70</v>
      </c>
      <c r="G13" s="39"/>
      <c r="H13" s="15">
        <f>AG37</f>
        <v>9.5597771611417262E-2</v>
      </c>
      <c r="I13" s="40" t="str">
        <f>IF(H13&lt;=0.1,"✅  Consistente (RC ≤ 0,10)","⚠️  Inconsistente — revise a matriz (RC &gt; 0,10)")</f>
        <v>✅  Consistente (RC ≤ 0,10)</v>
      </c>
      <c r="J13" s="40"/>
      <c r="K13" s="40"/>
      <c r="L13" s="40"/>
      <c r="M13" s="40"/>
      <c r="N13" s="40"/>
    </row>
    <row r="14" spans="1:14" ht="19.5" customHeight="1" x14ac:dyDescent="0.3">
      <c r="A14" s="26"/>
      <c r="B14" s="27"/>
      <c r="C14" s="28"/>
      <c r="D14" s="29"/>
      <c r="E14" s="30"/>
    </row>
    <row r="16" spans="1:14" ht="25.5" customHeight="1" x14ac:dyDescent="0.3">
      <c r="A16" s="41" t="s">
        <v>71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</row>
    <row r="17" spans="1:33" ht="25.5" customHeight="1" x14ac:dyDescent="0.3">
      <c r="A17" s="42" t="s">
        <v>72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1:33" ht="24" customHeight="1" x14ac:dyDescent="0.3">
      <c r="A18" s="16" t="s">
        <v>73</v>
      </c>
      <c r="B18" s="1">
        <v>1</v>
      </c>
      <c r="C18" s="1">
        <v>2</v>
      </c>
      <c r="D18" s="1">
        <v>3</v>
      </c>
      <c r="E18" s="1">
        <v>4</v>
      </c>
      <c r="F18" s="1">
        <v>5</v>
      </c>
      <c r="G18" s="1">
        <v>6</v>
      </c>
      <c r="H18" s="1">
        <v>7</v>
      </c>
      <c r="I18" s="1">
        <v>8</v>
      </c>
      <c r="J18" s="35"/>
      <c r="K18" s="35"/>
      <c r="O18" s="37"/>
      <c r="S18">
        <f t="shared" ref="S18:AB18" si="2">SUM(B19:B28)</f>
        <v>18.475210084033613</v>
      </c>
      <c r="T18">
        <f t="shared" si="2"/>
        <v>4.4416666666666664</v>
      </c>
      <c r="U18">
        <f t="shared" si="2"/>
        <v>6.2295238095238092</v>
      </c>
      <c r="V18">
        <f t="shared" si="2"/>
        <v>28.476190476190474</v>
      </c>
      <c r="W18">
        <f t="shared" si="2"/>
        <v>22</v>
      </c>
      <c r="X18">
        <f t="shared" si="2"/>
        <v>43.783216783216787</v>
      </c>
      <c r="Y18">
        <f t="shared" si="2"/>
        <v>12.800303030303031</v>
      </c>
      <c r="Z18">
        <f t="shared" si="2"/>
        <v>3.09</v>
      </c>
    </row>
    <row r="19" spans="1:33" ht="21.75" customHeight="1" x14ac:dyDescent="0.3">
      <c r="A19" s="1">
        <v>1</v>
      </c>
      <c r="B19" s="64">
        <v>1</v>
      </c>
      <c r="C19" s="65">
        <v>0.2</v>
      </c>
      <c r="D19" s="65">
        <v>0.17</v>
      </c>
      <c r="E19" s="65">
        <v>5</v>
      </c>
      <c r="F19" s="65">
        <v>4</v>
      </c>
      <c r="G19" s="65">
        <v>7</v>
      </c>
      <c r="H19" s="65">
        <v>1</v>
      </c>
      <c r="I19" s="65">
        <v>0.2</v>
      </c>
      <c r="J19" s="34"/>
      <c r="K19" s="34"/>
      <c r="S19" s="17">
        <f t="shared" ref="S19:AB19" si="3">IF(ISNUMBER(B19),B19/IF(S18=0,1,S18),0)</f>
        <v>5.4126583429987947E-2</v>
      </c>
      <c r="T19" s="17">
        <f t="shared" si="3"/>
        <v>4.5028142589118206E-2</v>
      </c>
      <c r="U19" s="17">
        <f t="shared" si="3"/>
        <v>2.7289405289711056E-2</v>
      </c>
      <c r="V19" s="17">
        <f t="shared" si="3"/>
        <v>0.17558528428093648</v>
      </c>
      <c r="W19" s="17">
        <f t="shared" si="3"/>
        <v>0.18181818181818182</v>
      </c>
      <c r="X19" s="17">
        <f t="shared" si="3"/>
        <v>0.15987861363999359</v>
      </c>
      <c r="Y19" s="17">
        <f t="shared" si="3"/>
        <v>7.8123150493596263E-2</v>
      </c>
      <c r="Z19" s="17">
        <f t="shared" si="3"/>
        <v>6.4724919093851141E-2</v>
      </c>
      <c r="AA19" s="17"/>
      <c r="AB19" s="17"/>
      <c r="AD19">
        <f t="shared" ref="AD19:AD28" si="4">AVERAGE(S19:AB19)</f>
        <v>9.8321785079422075E-2</v>
      </c>
      <c r="AF19">
        <f>B19*AD19+C19*AD20+D19*AD21+E19*AD22+F19*AD23+G19*AD24+H19*AD25+I19*AD26+J19*AD27+K19*AD28</f>
        <v>0.86573226845124762</v>
      </c>
      <c r="AG19">
        <f t="shared" ref="AG19:AG28" si="5">IF(AD19&lt;&gt;0,AF19/AD19,0)</f>
        <v>8.8050910360499355</v>
      </c>
    </row>
    <row r="20" spans="1:33" ht="21.75" customHeight="1" x14ac:dyDescent="0.3">
      <c r="A20" s="1">
        <v>2</v>
      </c>
      <c r="B20" s="66">
        <f>IF(ISNUMBER(C19),1/C19,"")</f>
        <v>5</v>
      </c>
      <c r="C20" s="64">
        <v>1</v>
      </c>
      <c r="D20" s="65">
        <v>2</v>
      </c>
      <c r="E20" s="65">
        <v>6</v>
      </c>
      <c r="F20" s="65">
        <v>5</v>
      </c>
      <c r="G20" s="65">
        <v>8</v>
      </c>
      <c r="H20" s="65">
        <v>4</v>
      </c>
      <c r="I20" s="65">
        <v>0.5</v>
      </c>
      <c r="J20" s="34"/>
      <c r="K20" s="34"/>
      <c r="S20" s="17">
        <f t="shared" ref="S20:AB20" si="6">IF(ISNUMBER(B20),B20/IF(S18=0,1,S18),0)</f>
        <v>0.27063291714993976</v>
      </c>
      <c r="T20" s="17">
        <f t="shared" si="6"/>
        <v>0.22514071294559101</v>
      </c>
      <c r="U20" s="17">
        <f t="shared" si="6"/>
        <v>0.32105182693777712</v>
      </c>
      <c r="V20" s="17">
        <f t="shared" si="6"/>
        <v>0.21070234113712377</v>
      </c>
      <c r="W20" s="17">
        <f t="shared" si="6"/>
        <v>0.22727272727272727</v>
      </c>
      <c r="X20" s="17">
        <f t="shared" si="6"/>
        <v>0.18271841558856411</v>
      </c>
      <c r="Y20" s="17">
        <f t="shared" si="6"/>
        <v>0.31249260197438505</v>
      </c>
      <c r="Z20" s="17">
        <f t="shared" si="6"/>
        <v>0.16181229773462785</v>
      </c>
      <c r="AA20" s="17"/>
      <c r="AB20" s="17"/>
      <c r="AD20">
        <f t="shared" si="4"/>
        <v>0.238977980092592</v>
      </c>
      <c r="AF20">
        <f>B20*AD19+C20*AD20+D20*AD21+E20*AD22+F20*AD23+G20*AD24+H20*AD25+I20*AD26+J20*AD27+K20*AD28</f>
        <v>2.288678408354528</v>
      </c>
      <c r="AG20">
        <f t="shared" si="5"/>
        <v>9.5769426432836191</v>
      </c>
    </row>
    <row r="21" spans="1:33" ht="21.75" customHeight="1" x14ac:dyDescent="0.3">
      <c r="A21" s="1">
        <v>3</v>
      </c>
      <c r="B21" s="66">
        <f>IF(ISNUMBER(D19),1/D19,"")</f>
        <v>5.8823529411764701</v>
      </c>
      <c r="C21" s="66">
        <f>IF(ISNUMBER(D20),1/D20,"")</f>
        <v>0.5</v>
      </c>
      <c r="D21" s="64">
        <v>1</v>
      </c>
      <c r="E21" s="65">
        <v>3</v>
      </c>
      <c r="F21" s="65">
        <v>4</v>
      </c>
      <c r="G21" s="65">
        <v>7</v>
      </c>
      <c r="H21" s="65">
        <v>3</v>
      </c>
      <c r="I21" s="65">
        <v>0.5</v>
      </c>
      <c r="J21" s="34"/>
      <c r="K21" s="34"/>
      <c r="S21" s="17">
        <f t="shared" ref="S21:AB21" si="7">IF(ISNUMBER(B21),B21/IF(S18=0,1,S18),0)</f>
        <v>0.31839166723522322</v>
      </c>
      <c r="T21" s="17">
        <f t="shared" si="7"/>
        <v>0.11257035647279551</v>
      </c>
      <c r="U21" s="17">
        <f t="shared" si="7"/>
        <v>0.16052591346888856</v>
      </c>
      <c r="V21" s="17">
        <f t="shared" si="7"/>
        <v>0.10535117056856189</v>
      </c>
      <c r="W21" s="17">
        <f t="shared" si="7"/>
        <v>0.18181818181818182</v>
      </c>
      <c r="X21" s="17">
        <f t="shared" si="7"/>
        <v>0.15987861363999359</v>
      </c>
      <c r="Y21" s="17">
        <f t="shared" si="7"/>
        <v>0.2343694514807888</v>
      </c>
      <c r="Z21" s="17">
        <f t="shared" si="7"/>
        <v>0.16181229773462785</v>
      </c>
      <c r="AA21" s="17"/>
      <c r="AB21" s="17"/>
      <c r="AD21">
        <f t="shared" si="4"/>
        <v>0.17933970655238268</v>
      </c>
      <c r="AF21">
        <f>B21*AD19+C21*AD20+D21*AD21+E21*AD22+F21*AD23+G21*AD24+H21*AD25+I21*AD26+J21*AD27+K21*AD28</f>
        <v>1.7825117577795133</v>
      </c>
      <c r="AG21">
        <f t="shared" si="5"/>
        <v>9.9393034149906221</v>
      </c>
    </row>
    <row r="22" spans="1:33" ht="21.75" customHeight="1" x14ac:dyDescent="0.3">
      <c r="A22" s="1">
        <v>4</v>
      </c>
      <c r="B22" s="66">
        <f>IF(ISNUMBER(E19),1/E19,"")</f>
        <v>0.2</v>
      </c>
      <c r="C22" s="66">
        <f>IF(ISNUMBER(E20),1/E20,"")</f>
        <v>0.16666666666666666</v>
      </c>
      <c r="D22" s="66">
        <f>IF(ISNUMBER(E21),1/E21,"")</f>
        <v>0.33333333333333331</v>
      </c>
      <c r="E22" s="64">
        <v>1</v>
      </c>
      <c r="F22" s="65">
        <v>1</v>
      </c>
      <c r="G22" s="65">
        <v>3</v>
      </c>
      <c r="H22" s="65">
        <v>0.14000000000000001</v>
      </c>
      <c r="I22" s="65">
        <v>0.2</v>
      </c>
      <c r="J22" s="34"/>
      <c r="K22" s="34"/>
      <c r="S22" s="17">
        <f t="shared" ref="S22:AB22" si="8">IF(ISNUMBER(B22),B22/IF(S18=0,1,S18),0)</f>
        <v>1.082531668599759E-2</v>
      </c>
      <c r="T22" s="17">
        <f t="shared" si="8"/>
        <v>3.7523452157598496E-2</v>
      </c>
      <c r="U22" s="17">
        <f t="shared" si="8"/>
        <v>5.3508637822962848E-2</v>
      </c>
      <c r="V22" s="17">
        <f t="shared" si="8"/>
        <v>3.5117056856187295E-2</v>
      </c>
      <c r="W22" s="17">
        <f t="shared" si="8"/>
        <v>4.5454545454545456E-2</v>
      </c>
      <c r="X22" s="17">
        <f t="shared" si="8"/>
        <v>6.8519405845711548E-2</v>
      </c>
      <c r="Y22" s="17">
        <f t="shared" si="8"/>
        <v>1.0937241069103478E-2</v>
      </c>
      <c r="Z22" s="17">
        <f t="shared" si="8"/>
        <v>6.4724919093851141E-2</v>
      </c>
      <c r="AA22" s="17"/>
      <c r="AB22" s="17"/>
      <c r="AD22">
        <f t="shared" si="4"/>
        <v>4.0826321873244732E-2</v>
      </c>
      <c r="AF22">
        <f>B22*AD19+C22*AD20+D22*AD21+E22*AD22+F22*AD23+G22*AD24+H22*AD25+I22*AD26+J22*AD27+K22*AD28</f>
        <v>0.33891375062306817</v>
      </c>
      <c r="AG22">
        <f t="shared" si="5"/>
        <v>8.3013540057639403</v>
      </c>
    </row>
    <row r="23" spans="1:33" ht="21.75" customHeight="1" x14ac:dyDescent="0.3">
      <c r="A23" s="1">
        <v>5</v>
      </c>
      <c r="B23" s="66">
        <f>IF(ISNUMBER(F19),1/F19,"")</f>
        <v>0.25</v>
      </c>
      <c r="C23" s="66">
        <f>IF(ISNUMBER(F20),1/F20,"")</f>
        <v>0.2</v>
      </c>
      <c r="D23" s="66">
        <f>IF(ISNUMBER(F21),1/F21,"")</f>
        <v>0.25</v>
      </c>
      <c r="E23" s="66">
        <f>IF(ISNUMBER(F22),1/F22,"")</f>
        <v>1</v>
      </c>
      <c r="F23" s="64">
        <v>1</v>
      </c>
      <c r="G23" s="65">
        <v>1</v>
      </c>
      <c r="H23" s="65">
        <v>0.5</v>
      </c>
      <c r="I23" s="65">
        <v>0.25</v>
      </c>
      <c r="J23" s="34"/>
      <c r="K23" s="34"/>
      <c r="S23" s="17">
        <f t="shared" ref="S23:AB23" si="9">IF(ISNUMBER(B23),B23/IF(S18=0,1,S18),0)</f>
        <v>1.3531645857496987E-2</v>
      </c>
      <c r="T23" s="17">
        <f t="shared" si="9"/>
        <v>4.5028142589118206E-2</v>
      </c>
      <c r="U23" s="17">
        <f t="shared" si="9"/>
        <v>4.013147836722214E-2</v>
      </c>
      <c r="V23" s="17">
        <f t="shared" si="9"/>
        <v>3.5117056856187295E-2</v>
      </c>
      <c r="W23" s="17">
        <f t="shared" si="9"/>
        <v>4.5454545454545456E-2</v>
      </c>
      <c r="X23" s="17">
        <f t="shared" si="9"/>
        <v>2.2839801948570514E-2</v>
      </c>
      <c r="Y23" s="17">
        <f t="shared" si="9"/>
        <v>3.9061575246798132E-2</v>
      </c>
      <c r="Z23" s="17">
        <f t="shared" si="9"/>
        <v>8.0906148867313926E-2</v>
      </c>
      <c r="AA23" s="17"/>
      <c r="AB23" s="17"/>
      <c r="AD23">
        <f t="shared" si="4"/>
        <v>4.0258799398406583E-2</v>
      </c>
      <c r="AF23">
        <f>B23*AD19+C23*AD20+D23*AD21+E23*AD22+F23*AD23+G23*AD24+H23*AD25+I23*AD26+J23*AD27+K23*AD28</f>
        <v>0.34323874197654219</v>
      </c>
      <c r="AG23">
        <f t="shared" si="5"/>
        <v>8.5258067082379849</v>
      </c>
    </row>
    <row r="24" spans="1:33" ht="21.75" customHeight="1" x14ac:dyDescent="0.3">
      <c r="A24" s="1">
        <v>6</v>
      </c>
      <c r="B24" s="66">
        <f>IF(ISNUMBER(G19),1/G19,"")</f>
        <v>0.14285714285714285</v>
      </c>
      <c r="C24" s="66">
        <f>IF(ISNUMBER(G20),1/G20,"")</f>
        <v>0.125</v>
      </c>
      <c r="D24" s="66">
        <f>IF(ISNUMBER(G21),1/G21,"")</f>
        <v>0.14285714285714285</v>
      </c>
      <c r="E24" s="66">
        <f>IF(ISNUMBER(G22),1/G22,"")</f>
        <v>0.33333333333333331</v>
      </c>
      <c r="F24" s="66">
        <f>IF(ISNUMBER(G23),1/G23,"")</f>
        <v>1</v>
      </c>
      <c r="G24" s="64">
        <v>1</v>
      </c>
      <c r="H24" s="65">
        <v>0.13</v>
      </c>
      <c r="I24" s="65">
        <v>0.11</v>
      </c>
      <c r="J24" s="34"/>
      <c r="K24" s="34"/>
      <c r="S24" s="17">
        <f t="shared" ref="S24:AB24" si="10">IF(ISNUMBER(B24),B24/IF(S18=0,1,S18),0)</f>
        <v>7.7323690614268491E-3</v>
      </c>
      <c r="T24" s="17">
        <f t="shared" si="10"/>
        <v>2.8142589118198877E-2</v>
      </c>
      <c r="U24" s="17">
        <f t="shared" si="10"/>
        <v>2.2932273352698363E-2</v>
      </c>
      <c r="V24" s="17">
        <f t="shared" si="10"/>
        <v>1.1705685618729098E-2</v>
      </c>
      <c r="W24" s="17">
        <f t="shared" si="10"/>
        <v>4.5454545454545456E-2</v>
      </c>
      <c r="X24" s="17">
        <f t="shared" si="10"/>
        <v>2.2839801948570514E-2</v>
      </c>
      <c r="Y24" s="17">
        <f t="shared" si="10"/>
        <v>1.0156009564167515E-2</v>
      </c>
      <c r="Z24" s="17">
        <f t="shared" si="10"/>
        <v>3.5598705501618123E-2</v>
      </c>
      <c r="AA24" s="17"/>
      <c r="AB24" s="17"/>
      <c r="AD24">
        <f t="shared" si="4"/>
        <v>2.307024745249435E-2</v>
      </c>
      <c r="AF24">
        <f>B24*AD19+C24*AD20+D24*AD21+E24*AD22+F24*AD23+G24*AD24+H24*AD25+I24*AD26+J24*AD27+K24*AD28</f>
        <v>0.19035425240190063</v>
      </c>
      <c r="AG24">
        <f t="shared" si="5"/>
        <v>8.2510711163316781</v>
      </c>
    </row>
    <row r="25" spans="1:33" ht="21.75" customHeight="1" x14ac:dyDescent="0.3">
      <c r="A25" s="1">
        <v>7</v>
      </c>
      <c r="B25" s="66">
        <f>IF(ISNUMBER(H19),1/H19,"")</f>
        <v>1</v>
      </c>
      <c r="C25" s="66">
        <f>IF(ISNUMBER(H20),1/H20,"")</f>
        <v>0.25</v>
      </c>
      <c r="D25" s="66">
        <f>IF(ISNUMBER(H21),1/H21,"")</f>
        <v>0.33333333333333331</v>
      </c>
      <c r="E25" s="66">
        <f>IF(ISNUMBER(H22),1/H22,"")</f>
        <v>7.1428571428571423</v>
      </c>
      <c r="F25" s="66">
        <f>IF(ISNUMBER(H23),1/H23,"")</f>
        <v>2</v>
      </c>
      <c r="G25" s="66">
        <f>IF(ISNUMBER(H24),1/H24,"")</f>
        <v>7.6923076923076916</v>
      </c>
      <c r="H25" s="64">
        <v>1</v>
      </c>
      <c r="I25" s="65">
        <v>0.33</v>
      </c>
      <c r="J25" s="34"/>
      <c r="K25" s="34"/>
      <c r="S25" s="17">
        <f t="shared" ref="S25:AB25" si="11">IF(ISNUMBER(B25),B25/IF(S18=0,1,S18),0)</f>
        <v>5.4126583429987947E-2</v>
      </c>
      <c r="T25" s="17">
        <f t="shared" si="11"/>
        <v>5.6285178236397754E-2</v>
      </c>
      <c r="U25" s="17">
        <f t="shared" si="11"/>
        <v>5.3508637822962848E-2</v>
      </c>
      <c r="V25" s="17">
        <f t="shared" si="11"/>
        <v>0.25083612040133779</v>
      </c>
      <c r="W25" s="17">
        <f t="shared" si="11"/>
        <v>9.0909090909090912E-2</v>
      </c>
      <c r="X25" s="17">
        <f t="shared" si="11"/>
        <v>0.17569078421977316</v>
      </c>
      <c r="Y25" s="17">
        <f t="shared" si="11"/>
        <v>7.8123150493596263E-2</v>
      </c>
      <c r="Z25" s="17">
        <f t="shared" si="11"/>
        <v>0.10679611650485438</v>
      </c>
      <c r="AA25" s="17"/>
      <c r="AB25" s="17"/>
      <c r="AD25">
        <f t="shared" si="4"/>
        <v>0.10828445775225012</v>
      </c>
      <c r="AF25">
        <f>B25*AD19+C25*AD20+D25*AD21+E25*AD22+F25*AD23+G25*AD24+H25*AD25+I25*AD26+J25*AD27+K25*AD28</f>
        <v>0.96513209718065451</v>
      </c>
      <c r="AG25">
        <f t="shared" si="5"/>
        <v>8.9129328180119121</v>
      </c>
    </row>
    <row r="26" spans="1:33" ht="21.75" customHeight="1" x14ac:dyDescent="0.3">
      <c r="A26" s="1">
        <v>8</v>
      </c>
      <c r="B26" s="66">
        <f>IF(ISNUMBER(I19),1/I19,"")</f>
        <v>5</v>
      </c>
      <c r="C26" s="66">
        <f>IF(ISNUMBER(I20),1/I20,"")</f>
        <v>2</v>
      </c>
      <c r="D26" s="66">
        <f>IF(ISNUMBER(I21),1/I21,"")</f>
        <v>2</v>
      </c>
      <c r="E26" s="66">
        <f>IF(ISNUMBER(I22),1/I22,"")</f>
        <v>5</v>
      </c>
      <c r="F26" s="66">
        <f>IF(ISNUMBER(I23),1/I23,"")</f>
        <v>4</v>
      </c>
      <c r="G26" s="66">
        <f>IF(ISNUMBER(I24),1/I24,"")</f>
        <v>9.0909090909090917</v>
      </c>
      <c r="H26" s="66">
        <f>IF(ISNUMBER(I25),1/I25,"")</f>
        <v>3.0303030303030303</v>
      </c>
      <c r="I26" s="64">
        <v>1</v>
      </c>
      <c r="J26" s="34"/>
      <c r="K26" s="34"/>
      <c r="S26" s="17">
        <f t="shared" ref="S26:AB26" si="12">IF(ISNUMBER(B26),B26/IF(S18=0,1,S18),0)</f>
        <v>0.27063291714993976</v>
      </c>
      <c r="T26" s="17">
        <f t="shared" si="12"/>
        <v>0.45028142589118203</v>
      </c>
      <c r="U26" s="17">
        <f t="shared" si="12"/>
        <v>0.32105182693777712</v>
      </c>
      <c r="V26" s="17">
        <f t="shared" si="12"/>
        <v>0.17558528428093648</v>
      </c>
      <c r="W26" s="17">
        <f t="shared" si="12"/>
        <v>0.18181818181818182</v>
      </c>
      <c r="X26" s="17">
        <f t="shared" si="12"/>
        <v>0.20763456316882287</v>
      </c>
      <c r="Y26" s="17">
        <f t="shared" si="12"/>
        <v>0.23673681967756444</v>
      </c>
      <c r="Z26" s="17">
        <f t="shared" si="12"/>
        <v>0.3236245954692557</v>
      </c>
      <c r="AA26" s="17"/>
      <c r="AB26" s="17"/>
      <c r="AD26">
        <f t="shared" si="4"/>
        <v>0.27092070179920752</v>
      </c>
      <c r="AF26">
        <f>B26*AD19+C26*AD20+D26*AD21+E26*AD22+F26*AD23+G26*AD24+H26*AD25+I26*AD26+J26*AD27+K26*AD28</f>
        <v>2.5021960502028842</v>
      </c>
      <c r="AG26">
        <f t="shared" si="5"/>
        <v>9.2358983037678062</v>
      </c>
    </row>
    <row r="27" spans="1:33" ht="21.75" customHeight="1" x14ac:dyDescent="0.3">
      <c r="A27" s="31"/>
      <c r="B27" s="32"/>
      <c r="C27" s="32"/>
      <c r="D27" s="32"/>
      <c r="E27" s="32"/>
      <c r="F27" s="32"/>
      <c r="G27" s="32"/>
      <c r="H27" s="32"/>
      <c r="I27" s="32"/>
      <c r="J27" s="33"/>
      <c r="K27" s="34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33" ht="21.75" customHeight="1" x14ac:dyDescent="0.3">
      <c r="A28" s="31"/>
      <c r="B28" s="32"/>
      <c r="C28" s="32"/>
      <c r="D28" s="32"/>
      <c r="E28" s="32"/>
      <c r="F28" s="32"/>
      <c r="G28" s="32"/>
      <c r="H28" s="32"/>
      <c r="I28" s="32"/>
      <c r="J28" s="36"/>
      <c r="K28" s="33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30" spans="1:33" x14ac:dyDescent="0.3">
      <c r="AG30">
        <f>AVERAGE(AG19:AG26)</f>
        <v>8.9435500058046884</v>
      </c>
    </row>
    <row r="32" spans="1:33" x14ac:dyDescent="0.3">
      <c r="S32">
        <v>1</v>
      </c>
      <c r="T32">
        <v>2</v>
      </c>
      <c r="U32">
        <v>3</v>
      </c>
      <c r="V32">
        <v>4</v>
      </c>
      <c r="W32">
        <v>5</v>
      </c>
      <c r="X32">
        <v>6</v>
      </c>
      <c r="Y32">
        <v>7</v>
      </c>
      <c r="Z32">
        <v>8</v>
      </c>
    </row>
    <row r="33" spans="19:33" x14ac:dyDescent="0.3">
      <c r="S33">
        <v>0</v>
      </c>
      <c r="T33">
        <v>0</v>
      </c>
      <c r="U33">
        <v>0.57999999999999996</v>
      </c>
      <c r="V33">
        <v>0.9</v>
      </c>
      <c r="W33">
        <v>1.1200000000000001</v>
      </c>
      <c r="X33">
        <v>1.24</v>
      </c>
      <c r="Y33">
        <v>1.32</v>
      </c>
      <c r="Z33">
        <v>1.41</v>
      </c>
    </row>
    <row r="35" spans="19:33" x14ac:dyDescent="0.3">
      <c r="AG35">
        <f>(AG30-$D$2)/($D$2-1)</f>
        <v>0.13479285797209833</v>
      </c>
    </row>
    <row r="36" spans="19:33" x14ac:dyDescent="0.3">
      <c r="AG36">
        <f>INDEX(S33:AB33,1,MATCH($D$2,S32:AB32,0))</f>
        <v>1.41</v>
      </c>
    </row>
    <row r="37" spans="19:33" x14ac:dyDescent="0.3">
      <c r="AG37">
        <f>IF(AG36&lt;&gt;0,AG35/AG36,0)</f>
        <v>9.5597771611417262E-2</v>
      </c>
    </row>
  </sheetData>
  <mergeCells count="22">
    <mergeCell ref="A1:G1"/>
    <mergeCell ref="H1:N1"/>
    <mergeCell ref="A2:C2"/>
    <mergeCell ref="A3:E3"/>
    <mergeCell ref="F4:M4"/>
    <mergeCell ref="F5:G5"/>
    <mergeCell ref="J5:K5"/>
    <mergeCell ref="F6:G6"/>
    <mergeCell ref="J6:K6"/>
    <mergeCell ref="F7:G7"/>
    <mergeCell ref="J7:K7"/>
    <mergeCell ref="F8:G8"/>
    <mergeCell ref="J8:K8"/>
    <mergeCell ref="F9:G9"/>
    <mergeCell ref="J9:K9"/>
    <mergeCell ref="F10:G10"/>
    <mergeCell ref="J10:K10"/>
    <mergeCell ref="F11:M11"/>
    <mergeCell ref="F13:G13"/>
    <mergeCell ref="I13:N13"/>
    <mergeCell ref="A16:L16"/>
    <mergeCell ref="A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tabSelected="1" zoomScaleNormal="100" workbookViewId="0">
      <selection activeCell="A14" sqref="A13:XFD14"/>
    </sheetView>
  </sheetViews>
  <sheetFormatPr defaultColWidth="8.6640625" defaultRowHeight="14.4" x14ac:dyDescent="0.3"/>
  <cols>
    <col min="1" max="1" width="6" customWidth="1"/>
    <col min="2" max="2" width="30" customWidth="1"/>
    <col min="3" max="4" width="10" customWidth="1"/>
    <col min="5" max="12" width="14" customWidth="1"/>
  </cols>
  <sheetData>
    <row r="1" spans="1:12" ht="31.5" customHeight="1" x14ac:dyDescent="0.3">
      <c r="A1" s="58" t="s">
        <v>74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21.75" customHeight="1" x14ac:dyDescent="0.3">
      <c r="A2" s="59" t="s">
        <v>75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5" thickBot="1" x14ac:dyDescent="0.35">
      <c r="A3" s="18" t="s">
        <v>36</v>
      </c>
      <c r="B3" s="18" t="s">
        <v>76</v>
      </c>
      <c r="C3" s="18" t="s">
        <v>38</v>
      </c>
      <c r="D3" s="18" t="s">
        <v>39</v>
      </c>
      <c r="E3" s="1" t="s">
        <v>77</v>
      </c>
      <c r="F3" s="1" t="s">
        <v>78</v>
      </c>
      <c r="G3" s="1" t="s">
        <v>79</v>
      </c>
      <c r="H3" s="1" t="s">
        <v>80</v>
      </c>
      <c r="I3" s="1" t="s">
        <v>81</v>
      </c>
      <c r="J3" s="1" t="s">
        <v>86</v>
      </c>
      <c r="K3" s="1" t="s">
        <v>87</v>
      </c>
      <c r="L3" s="1" t="s">
        <v>88</v>
      </c>
    </row>
    <row r="4" spans="1:12" ht="15" thickBot="1" x14ac:dyDescent="0.35">
      <c r="A4" s="62" t="s">
        <v>82</v>
      </c>
      <c r="B4" s="62"/>
      <c r="C4" s="62"/>
      <c r="D4" s="62"/>
      <c r="E4" s="19" t="s">
        <v>77</v>
      </c>
      <c r="F4" s="19" t="s">
        <v>78</v>
      </c>
      <c r="G4" s="19" t="s">
        <v>79</v>
      </c>
      <c r="H4" s="19" t="s">
        <v>80</v>
      </c>
      <c r="I4" s="19" t="s">
        <v>81</v>
      </c>
      <c r="J4" s="19" t="s">
        <v>86</v>
      </c>
      <c r="K4" s="19" t="s">
        <v>87</v>
      </c>
      <c r="L4" s="19" t="s">
        <v>88</v>
      </c>
    </row>
    <row r="5" spans="1:12" ht="21.75" customHeight="1" x14ac:dyDescent="0.3">
      <c r="A5" s="8">
        <v>1</v>
      </c>
      <c r="B5" s="20" t="str">
        <f>'Cálculo dos Pesos - Método AHP'!B5</f>
        <v>Infraestrutura disponível</v>
      </c>
      <c r="C5" s="21">
        <f>'Cálculo dos Pesos - Método AHP'!C5</f>
        <v>9.8321785079422075E-2</v>
      </c>
      <c r="D5" s="22">
        <f>'Cálculo dos Pesos - Método AHP'!D5</f>
        <v>9.8321785079422075E-2</v>
      </c>
      <c r="E5" s="23">
        <v>5</v>
      </c>
      <c r="F5" s="23">
        <v>5</v>
      </c>
      <c r="G5" s="23">
        <v>5</v>
      </c>
      <c r="H5" s="23">
        <v>5</v>
      </c>
      <c r="I5" s="23">
        <v>5</v>
      </c>
      <c r="J5" s="23">
        <v>5</v>
      </c>
      <c r="K5" s="23">
        <v>5</v>
      </c>
      <c r="L5" s="23">
        <v>5</v>
      </c>
    </row>
    <row r="6" spans="1:12" ht="21.75" customHeight="1" x14ac:dyDescent="0.3">
      <c r="A6" s="8">
        <v>2</v>
      </c>
      <c r="B6" s="20" t="str">
        <f>'Cálculo dos Pesos - Método AHP'!B6</f>
        <v>Ruído</v>
      </c>
      <c r="C6" s="21">
        <f>'Cálculo dos Pesos - Método AHP'!C6</f>
        <v>0.238977980092592</v>
      </c>
      <c r="D6" s="22">
        <f>'Cálculo dos Pesos - Método AHP'!D6</f>
        <v>0.238977980092592</v>
      </c>
      <c r="E6" s="23">
        <v>5</v>
      </c>
      <c r="F6" s="23">
        <v>5</v>
      </c>
      <c r="G6" s="23">
        <v>5</v>
      </c>
      <c r="H6" s="23">
        <v>5</v>
      </c>
      <c r="I6" s="23">
        <v>5</v>
      </c>
      <c r="J6" s="23">
        <v>5</v>
      </c>
      <c r="K6" s="23">
        <v>5</v>
      </c>
      <c r="L6" s="23">
        <v>5</v>
      </c>
    </row>
    <row r="7" spans="1:12" ht="21.75" customHeight="1" x14ac:dyDescent="0.3">
      <c r="A7" s="8">
        <v>3</v>
      </c>
      <c r="B7" s="20" t="str">
        <f>'Cálculo dos Pesos - Método AHP'!B7</f>
        <v>Acessibilidade</v>
      </c>
      <c r="C7" s="21">
        <f>'Cálculo dos Pesos - Método AHP'!C7</f>
        <v>0.17933970655238268</v>
      </c>
      <c r="D7" s="22">
        <f>'Cálculo dos Pesos - Método AHP'!D7</f>
        <v>0.17933970655238268</v>
      </c>
      <c r="E7" s="23">
        <v>5</v>
      </c>
      <c r="F7" s="23">
        <v>5</v>
      </c>
      <c r="G7" s="23">
        <v>5</v>
      </c>
      <c r="H7" s="23">
        <v>5</v>
      </c>
      <c r="I7" s="23">
        <v>5</v>
      </c>
      <c r="J7" s="23">
        <v>5</v>
      </c>
      <c r="K7" s="23">
        <v>5</v>
      </c>
      <c r="L7" s="23">
        <v>5</v>
      </c>
    </row>
    <row r="8" spans="1:12" ht="21.75" customHeight="1" x14ac:dyDescent="0.3">
      <c r="A8" s="8">
        <v>4</v>
      </c>
      <c r="B8" s="20" t="str">
        <f>'Cálculo dos Pesos - Método AHP'!B8</f>
        <v>Privacidade</v>
      </c>
      <c r="C8" s="21">
        <f>'Cálculo dos Pesos - Método AHP'!C8</f>
        <v>4.0826321873244732E-2</v>
      </c>
      <c r="D8" s="22">
        <f>'Cálculo dos Pesos - Método AHP'!D8</f>
        <v>4.0826321873244732E-2</v>
      </c>
      <c r="E8" s="23">
        <v>5</v>
      </c>
      <c r="F8" s="23">
        <v>5</v>
      </c>
      <c r="G8" s="23">
        <v>5</v>
      </c>
      <c r="H8" s="23">
        <v>5</v>
      </c>
      <c r="I8" s="23">
        <v>5</v>
      </c>
      <c r="J8" s="23">
        <v>5</v>
      </c>
      <c r="K8" s="23">
        <v>5</v>
      </c>
      <c r="L8" s="23">
        <v>5</v>
      </c>
    </row>
    <row r="9" spans="1:12" ht="21.75" customHeight="1" x14ac:dyDescent="0.3">
      <c r="A9" s="8">
        <v>5</v>
      </c>
      <c r="B9" s="20" t="str">
        <f>'Cálculo dos Pesos - Método AHP'!B9</f>
        <v>Eficiência</v>
      </c>
      <c r="C9" s="21">
        <f>'Cálculo dos Pesos - Método AHP'!C9</f>
        <v>4.0258799398406583E-2</v>
      </c>
      <c r="D9" s="22">
        <f>'Cálculo dos Pesos - Método AHP'!D9</f>
        <v>4.0258799398406583E-2</v>
      </c>
      <c r="E9" s="23">
        <v>5</v>
      </c>
      <c r="F9" s="23">
        <v>5</v>
      </c>
      <c r="G9" s="23">
        <v>5</v>
      </c>
      <c r="H9" s="23">
        <v>5</v>
      </c>
      <c r="I9" s="23">
        <v>5</v>
      </c>
      <c r="J9" s="23">
        <v>5</v>
      </c>
      <c r="K9" s="23">
        <v>5</v>
      </c>
      <c r="L9" s="23">
        <v>5</v>
      </c>
    </row>
    <row r="10" spans="1:12" ht="21.75" customHeight="1" x14ac:dyDescent="0.3">
      <c r="A10" s="8">
        <v>6</v>
      </c>
      <c r="B10" s="20" t="str">
        <f>'Cálculo dos Pesos - Método AHP'!B10</f>
        <v>Horas de Operação</v>
      </c>
      <c r="C10" s="21">
        <f>'Cálculo dos Pesos - Método AHP'!C10</f>
        <v>2.307024745249435E-2</v>
      </c>
      <c r="D10" s="22">
        <f>'Cálculo dos Pesos - Método AHP'!D10</f>
        <v>2.307024745249435E-2</v>
      </c>
      <c r="E10" s="23">
        <v>5</v>
      </c>
      <c r="F10" s="23">
        <v>5</v>
      </c>
      <c r="G10" s="23">
        <v>5</v>
      </c>
      <c r="H10" s="23">
        <v>5</v>
      </c>
      <c r="I10" s="23">
        <v>5</v>
      </c>
      <c r="J10" s="23">
        <v>5</v>
      </c>
      <c r="K10" s="23">
        <v>5</v>
      </c>
      <c r="L10" s="23">
        <v>5</v>
      </c>
    </row>
    <row r="11" spans="1:12" ht="21.75" customHeight="1" x14ac:dyDescent="0.3">
      <c r="A11" s="8">
        <v>7</v>
      </c>
      <c r="B11" s="20" t="str">
        <f>'Cálculo dos Pesos - Método AHP'!B11</f>
        <v>Impacto Ambiental</v>
      </c>
      <c r="C11" s="21">
        <f>'Cálculo dos Pesos - Método AHP'!C11</f>
        <v>0.10828445775225012</v>
      </c>
      <c r="D11" s="22">
        <f>'Cálculo dos Pesos - Método AHP'!D11</f>
        <v>0.10828445775225012</v>
      </c>
      <c r="E11" s="23">
        <v>5</v>
      </c>
      <c r="F11" s="23">
        <v>5</v>
      </c>
      <c r="G11" s="23">
        <v>5</v>
      </c>
      <c r="H11" s="23">
        <v>5</v>
      </c>
      <c r="I11" s="23">
        <v>5</v>
      </c>
      <c r="J11" s="23">
        <v>5</v>
      </c>
      <c r="K11" s="23">
        <v>5</v>
      </c>
      <c r="L11" s="23">
        <v>5</v>
      </c>
    </row>
    <row r="12" spans="1:12" ht="21.75" customHeight="1" x14ac:dyDescent="0.3">
      <c r="A12" s="8">
        <v>8</v>
      </c>
      <c r="B12" s="20" t="str">
        <f>'Cálculo dos Pesos - Método AHP'!B12</f>
        <v>Segurança</v>
      </c>
      <c r="C12" s="21">
        <f>'Cálculo dos Pesos - Método AHP'!C12</f>
        <v>0.27092070179920752</v>
      </c>
      <c r="D12" s="22">
        <f>'Cálculo dos Pesos - Método AHP'!D12</f>
        <v>0.27092070179920752</v>
      </c>
      <c r="E12" s="23">
        <v>5</v>
      </c>
      <c r="F12" s="23">
        <v>5</v>
      </c>
      <c r="G12" s="23">
        <v>5</v>
      </c>
      <c r="H12" s="23">
        <v>5</v>
      </c>
      <c r="I12" s="23">
        <v>5</v>
      </c>
      <c r="J12" s="23">
        <v>5</v>
      </c>
      <c r="K12" s="23">
        <v>5</v>
      </c>
      <c r="L12" s="23">
        <v>5</v>
      </c>
    </row>
    <row r="13" spans="1:12" ht="15" thickBot="1" x14ac:dyDescent="0.35"/>
    <row r="14" spans="1:12" ht="27.75" customHeight="1" thickBot="1" x14ac:dyDescent="0.35">
      <c r="A14" s="41" t="s">
        <v>83</v>
      </c>
      <c r="B14" s="41"/>
      <c r="C14" s="41"/>
      <c r="D14" s="41"/>
      <c r="E14" s="24">
        <f>SUMPRODUCT($C$5:$C$12,E5:E12)</f>
        <v>5.0000000000000009</v>
      </c>
      <c r="F14" s="24">
        <f>SUMPRODUCT($C$5:$C$12,F5:F12)</f>
        <v>5.0000000000000009</v>
      </c>
      <c r="G14" s="24">
        <f>SUMPRODUCT($C$5:$C$12,G5:G12)</f>
        <v>5.0000000000000009</v>
      </c>
      <c r="H14" s="24">
        <f>SUMPRODUCT($C$5:$C$12,H5:H12)</f>
        <v>5.0000000000000009</v>
      </c>
      <c r="I14" s="24">
        <f>SUMPRODUCT($C$5:$C$12,I5:I12)</f>
        <v>5.0000000000000009</v>
      </c>
      <c r="J14" s="24">
        <f>SUMPRODUCT($C$5:$C$12,J5:J12)</f>
        <v>5.0000000000000009</v>
      </c>
      <c r="K14" s="24">
        <f>SUMPRODUCT($C$5:$C$12,K5:K12)</f>
        <v>5.0000000000000009</v>
      </c>
      <c r="L14" s="24">
        <f>SUMPRODUCT($C$5:$C$12,L5:L12)</f>
        <v>5.0000000000000009</v>
      </c>
    </row>
    <row r="15" spans="1:12" ht="15" thickBot="1" x14ac:dyDescent="0.35">
      <c r="A15" s="63" t="s">
        <v>84</v>
      </c>
      <c r="B15" s="63"/>
      <c r="C15" s="63"/>
      <c r="D15" s="63"/>
      <c r="E15" s="25">
        <f>RANK(E14,E14:I14,0)</f>
        <v>1</v>
      </c>
      <c r="F15" s="25">
        <f>RANK(F14,E14:I14,0)</f>
        <v>1</v>
      </c>
      <c r="G15" s="25">
        <f>RANK(G14,E14:I14,0)</f>
        <v>1</v>
      </c>
      <c r="H15" s="25">
        <f>RANK(H14,E14:I14,0)</f>
        <v>1</v>
      </c>
      <c r="I15" s="25">
        <f>RANK(I14,E14:I14,0)</f>
        <v>1</v>
      </c>
      <c r="J15" s="25">
        <f t="shared" ref="J15:L15" si="0">RANK(J14,F14:J14,0)</f>
        <v>1</v>
      </c>
      <c r="K15" s="25">
        <f t="shared" si="0"/>
        <v>1</v>
      </c>
      <c r="L15" s="25">
        <f t="shared" si="0"/>
        <v>1</v>
      </c>
    </row>
    <row r="16" spans="1:12" ht="15.6" x14ac:dyDescent="0.3">
      <c r="A16" s="57" t="s">
        <v>85</v>
      </c>
      <c r="B16" s="57"/>
      <c r="C16" s="57"/>
      <c r="D16" s="57"/>
      <c r="E16" s="60" t="str">
        <f>INDEX(E4:I4,MATCH(MAX(E14:L14),E14:L14,0))</f>
        <v>Sítio A</v>
      </c>
      <c r="F16" s="61"/>
      <c r="G16" s="61"/>
      <c r="H16" s="61"/>
      <c r="I16" s="61"/>
      <c r="J16" s="61"/>
      <c r="K16" s="61"/>
      <c r="L16" s="61"/>
    </row>
  </sheetData>
  <mergeCells count="7">
    <mergeCell ref="A16:D16"/>
    <mergeCell ref="A1:L1"/>
    <mergeCell ref="A2:L2"/>
    <mergeCell ref="E16:L16"/>
    <mergeCell ref="A4:D4"/>
    <mergeCell ref="A14:D14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Roteiro de Uso da Planilha</vt:lpstr>
      <vt:lpstr>Cálculo dos Pesos - Método AHP</vt:lpstr>
      <vt:lpstr>Avaliação dos Sítios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Luiz</cp:lastModifiedBy>
  <cp:revision>0</cp:revision>
  <dcterms:created xsi:type="dcterms:W3CDTF">2026-03-26T21:18:18Z</dcterms:created>
  <dcterms:modified xsi:type="dcterms:W3CDTF">2026-03-27T17:06:17Z</dcterms:modified>
  <dc:language>en-US</dc:language>
</cp:coreProperties>
</file>